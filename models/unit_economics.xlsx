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Break-ev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1F4E78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</cols>
  <sheetData>
    <row r="1">
      <c r="A1" s="1" t="inlineStr">
        <is>
          <t>EV 2W unit-economics model</t>
        </is>
      </c>
    </row>
    <row r="2">
      <c r="A2" s="2" t="inlineStr">
        <is>
          <t>All values in Rs unless noted</t>
        </is>
      </c>
    </row>
    <row r="4">
      <c r="A4" s="3" t="inlineStr">
        <is>
          <t>BOM components</t>
        </is>
      </c>
    </row>
    <row r="5">
      <c r="A5" s="4" t="inlineStr">
        <is>
          <t>Component</t>
        </is>
      </c>
      <c r="B5" s="4" t="inlineStr">
        <is>
          <t>Cost (Rs)</t>
        </is>
      </c>
      <c r="C5" s="4" t="inlineStr">
        <is>
          <t>Share of BOM</t>
        </is>
      </c>
    </row>
    <row r="6">
      <c r="A6" s="5" t="inlineStr">
        <is>
          <t>Battery cell + pack</t>
        </is>
      </c>
      <c r="B6" s="5" t="n">
        <v>24800</v>
      </c>
      <c r="C6" s="5" t="inlineStr">
        <is>
          <t>40%</t>
        </is>
      </c>
    </row>
    <row r="7">
      <c r="A7" s="5" t="inlineStr">
        <is>
          <t>Motor + controller</t>
        </is>
      </c>
      <c r="B7" s="5" t="n">
        <v>11160</v>
      </c>
      <c r="C7" s="5" t="inlineStr">
        <is>
          <t>18%</t>
        </is>
      </c>
    </row>
    <row r="8">
      <c r="A8" s="5" t="inlineStr">
        <is>
          <t>Chassis + frame</t>
        </is>
      </c>
      <c r="B8" s="5" t="n">
        <v>13640</v>
      </c>
      <c r="C8" s="5" t="inlineStr">
        <is>
          <t>22%</t>
        </is>
      </c>
    </row>
    <row r="9">
      <c r="A9" s="5" t="inlineStr">
        <is>
          <t>Wiring + electronics</t>
        </is>
      </c>
      <c r="B9" s="5" t="n">
        <v>5580</v>
      </c>
      <c r="C9" s="5" t="inlineStr">
        <is>
          <t>9%</t>
        </is>
      </c>
    </row>
    <row r="10">
      <c r="A10" s="5" t="inlineStr">
        <is>
          <t>Display + connectivity</t>
        </is>
      </c>
      <c r="B10" s="5" t="n">
        <v>3720</v>
      </c>
      <c r="C10" s="5" t="inlineStr">
        <is>
          <t>6%</t>
        </is>
      </c>
    </row>
    <row r="11">
      <c r="A11" s="5" t="inlineStr">
        <is>
          <t>Other</t>
        </is>
      </c>
      <c r="B11" s="5" t="n">
        <v>3100</v>
      </c>
      <c r="C11" s="5" t="inlineStr">
        <is>
          <t>5%</t>
        </is>
      </c>
    </row>
    <row r="12">
      <c r="A12" s="6" t="inlineStr">
        <is>
          <t>Total BOM</t>
        </is>
      </c>
      <c r="B12" s="6">
        <f>SUM(B6:B11)</f>
        <v/>
      </c>
      <c r="C12" s="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2" customWidth="1" min="4" max="4"/>
    <col width="14" customWidth="1" min="5" max="5"/>
    <col width="14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Three entry scenarios</t>
        </is>
      </c>
    </row>
    <row r="3">
      <c r="A3" s="4" t="inlineStr">
        <is>
          <t>Scenario</t>
        </is>
      </c>
      <c r="B3" s="4" t="inlineStr">
        <is>
          <t>Upfront (Rs)</t>
        </is>
      </c>
      <c r="C3" s="4" t="inlineStr">
        <is>
          <t>Sub (Rs/mo)</t>
        </is>
      </c>
      <c r="D3" s="4" t="inlineStr">
        <is>
          <t>BOM (Rs)</t>
        </is>
      </c>
      <c r="E3" s="4" t="inlineStr">
        <is>
          <t>Dealer Margin</t>
        </is>
      </c>
      <c r="F3" s="4" t="inlineStr">
        <is>
          <t>Mkt+OH (Rs)</t>
        </is>
      </c>
      <c r="G3" s="4" t="inlineStr">
        <is>
          <t>Unit Margin / NPV (Rs)</t>
        </is>
      </c>
      <c r="H3" s="4" t="inlineStr">
        <is>
          <t>Break-even units/yr</t>
        </is>
      </c>
      <c r="I3" s="4" t="inlineStr">
        <is>
          <t>Break-even year</t>
        </is>
      </c>
    </row>
    <row r="4">
      <c r="A4" s="7" t="inlineStr">
        <is>
          <t>Premium (Ather-positioned)</t>
        </is>
      </c>
      <c r="B4" s="5" t="n">
        <v>135000</v>
      </c>
      <c r="C4" s="5" t="n">
        <v>0</v>
      </c>
      <c r="D4" s="5" t="n">
        <v>62000</v>
      </c>
      <c r="E4" s="5" t="inlineStr">
        <is>
          <t>8%</t>
        </is>
      </c>
      <c r="F4" s="5" t="n">
        <v>6500</v>
      </c>
      <c r="G4" s="5" t="n">
        <v>19500</v>
      </c>
      <c r="H4" s="5" t="n">
        <v>38000</v>
      </c>
      <c r="I4" s="5" t="inlineStr">
        <is>
          <t>Year 4</t>
        </is>
      </c>
    </row>
    <row r="5">
      <c r="A5" s="7" t="inlineStr">
        <is>
          <t>Mass-market (Ola-positioned)</t>
        </is>
      </c>
      <c r="B5" s="5" t="n">
        <v>105000</v>
      </c>
      <c r="C5" s="5" t="n">
        <v>0</v>
      </c>
      <c r="D5" s="5" t="n">
        <v>62000</v>
      </c>
      <c r="E5" s="5" t="inlineStr">
        <is>
          <t>8%</t>
        </is>
      </c>
      <c r="F5" s="5" t="n">
        <v>6500</v>
      </c>
      <c r="G5" s="5" t="n">
        <v>8200</v>
      </c>
      <c r="H5" s="5" t="n">
        <v>90000</v>
      </c>
      <c r="I5" s="5" t="inlineStr">
        <is>
          <t>Year 5+</t>
        </is>
      </c>
    </row>
    <row r="6">
      <c r="A6" s="7" t="inlineStr">
        <is>
          <t>Battery-swap leasing</t>
        </is>
      </c>
      <c r="B6" s="5" t="n">
        <v>65000</v>
      </c>
      <c r="C6" s="5" t="n">
        <v>2000</v>
      </c>
      <c r="D6" s="5" t="n">
        <v>40000</v>
      </c>
      <c r="E6" s="5" t="inlineStr">
        <is>
          <t>7%</t>
        </is>
      </c>
      <c r="F6" s="5" t="n">
        <v>5500</v>
      </c>
      <c r="G6" s="5" t="n">
        <v>14000</v>
      </c>
      <c r="H6" s="5" t="n">
        <v>25000</v>
      </c>
      <c r="I6" s="5" t="inlineStr">
        <is>
          <t>Year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</cols>
  <sheetData>
    <row r="1">
      <c r="A1" s="1" t="inlineStr">
        <is>
          <t>Break-even calculation</t>
        </is>
      </c>
    </row>
    <row r="3">
      <c r="A3" t="inlineStr">
        <is>
          <t>Annual fixed cost (Rs Cr)</t>
        </is>
      </c>
      <c r="B3" t="n">
        <v>75</v>
      </c>
    </row>
    <row r="4">
      <c r="A4" t="inlineStr">
        <is>
          <t>Annual fixed cost (Rs)</t>
        </is>
      </c>
      <c r="B4">
        <f>B3*10000000</f>
        <v/>
      </c>
    </row>
    <row r="6">
      <c r="A6" s="4" t="inlineStr">
        <is>
          <t>Scenario</t>
        </is>
      </c>
      <c r="B6" s="4" t="inlineStr">
        <is>
          <t>Unit Margin (Rs)</t>
        </is>
      </c>
      <c r="C6" s="4" t="inlineStr">
        <is>
          <t>Break-even units/yr</t>
        </is>
      </c>
    </row>
    <row r="7">
      <c r="A7" s="5" t="inlineStr">
        <is>
          <t>Premium (Ather-positioned)</t>
        </is>
      </c>
      <c r="B7" s="5" t="n">
        <v>19500</v>
      </c>
      <c r="C7" s="5">
        <f>B4/B7</f>
        <v/>
      </c>
    </row>
    <row r="8">
      <c r="A8" s="5" t="inlineStr">
        <is>
          <t>Mass-market (Ola-positioned)</t>
        </is>
      </c>
      <c r="B8" s="5" t="n">
        <v>8200</v>
      </c>
      <c r="C8" s="5">
        <f>B4/B8</f>
        <v/>
      </c>
    </row>
    <row r="9">
      <c r="A9" s="5" t="inlineStr">
        <is>
          <t>Battery-swap leasing</t>
        </is>
      </c>
      <c r="B9" s="5" t="n">
        <v>14000</v>
      </c>
      <c r="C9" s="5">
        <f>B4/B9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2026-06-25T06:49:35Z</dcterms:created>
  <dcterms:modified xmlns:dcterms="http://purl.org/dc/terms/" xmlns:xsi="http://www.w3.org/2001/XMLSchema-instance" xsi:type="dcterms:W3CDTF">2026-06-25T06:49:35Z</dcterms:modified>
</cp:coreProperties>
</file>